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git-repo\VBA_Invoice\"/>
    </mc:Choice>
  </mc:AlternateContent>
  <xr:revisionPtr revIDLastSave="0" documentId="13_ncr:1_{8DBB9348-6428-486F-8E0A-8BFF466F0582}" xr6:coauthVersionLast="46" xr6:coauthVersionMax="46" xr10:uidLastSave="{00000000-0000-0000-0000-000000000000}"/>
  <bookViews>
    <workbookView xWindow="11745" yWindow="172" windowWidth="13402" windowHeight="12968" tabRatio="739" activeTab="3" xr2:uid="{00000000-000D-0000-FFFF-FFFF00000000}"/>
  </bookViews>
  <sheets>
    <sheet name="請求書原本" sheetId="1636" r:id="rId1"/>
    <sheet name="会社一覧" sheetId="1634" r:id="rId2"/>
    <sheet name="商品一覧" sheetId="1635" r:id="rId3"/>
    <sheet name="請求DB" sheetId="1637" r:id="rId4"/>
    <sheet name="請求履歴" sheetId="1638" r:id="rId5"/>
  </sheets>
  <calcPr calcId="181029"/>
</workbook>
</file>

<file path=xl/calcChain.xml><?xml version="1.0" encoding="utf-8"?>
<calcChain xmlns="http://schemas.openxmlformats.org/spreadsheetml/2006/main">
  <c r="C12" i="1636" l="1"/>
  <c r="B5" i="1636"/>
  <c r="B4" i="1636"/>
  <c r="B7" i="1636"/>
  <c r="B6" i="1636"/>
  <c r="E12" i="1636"/>
  <c r="E13" i="1636"/>
  <c r="E14" i="1636"/>
  <c r="D12" i="1636"/>
  <c r="E15" i="1636" l="1"/>
  <c r="E16" i="1636"/>
  <c r="E17" i="1636"/>
  <c r="E18" i="1636"/>
  <c r="E19" i="1636"/>
  <c r="E20" i="1636"/>
  <c r="E21" i="1636"/>
  <c r="E22" i="1636"/>
  <c r="E23" i="1636"/>
  <c r="E24" i="1636"/>
  <c r="E25" i="1636"/>
  <c r="E26" i="1636"/>
  <c r="E27" i="1636"/>
  <c r="E28" i="1636"/>
  <c r="E29" i="1636"/>
  <c r="E30" i="1636"/>
  <c r="E31" i="1636"/>
  <c r="G12" i="1636" l="1"/>
  <c r="D13" i="1636"/>
  <c r="G13" i="1636" s="1"/>
  <c r="D14" i="1636"/>
  <c r="G14" i="1636" s="1"/>
  <c r="D15" i="1636"/>
  <c r="G15" i="1636" s="1"/>
  <c r="D16" i="1636"/>
  <c r="D17" i="1636"/>
  <c r="D18" i="1636"/>
  <c r="D19" i="1636"/>
  <c r="D20" i="1636"/>
  <c r="D21" i="1636"/>
  <c r="D22" i="1636"/>
  <c r="D23" i="1636"/>
  <c r="D24" i="1636"/>
  <c r="D25" i="1636"/>
  <c r="D26" i="1636"/>
  <c r="D27" i="1636"/>
  <c r="D28" i="1636"/>
  <c r="D29" i="1636"/>
  <c r="D30" i="1636"/>
  <c r="D31" i="1636"/>
  <c r="C13" i="1636"/>
  <c r="C14" i="1636"/>
  <c r="C15" i="1636"/>
  <c r="C16" i="1636"/>
  <c r="C17" i="1636"/>
  <c r="C18" i="1636"/>
  <c r="C19" i="1636"/>
  <c r="C20" i="1636"/>
  <c r="C21" i="1636"/>
  <c r="C22" i="1636"/>
  <c r="C23" i="1636"/>
  <c r="C24" i="1636"/>
  <c r="C25" i="1636"/>
  <c r="C26" i="1636"/>
  <c r="C27" i="1636"/>
  <c r="C28" i="1636"/>
  <c r="C29" i="1636"/>
  <c r="C30" i="1636"/>
  <c r="C31" i="1636"/>
  <c r="G31" i="1636"/>
  <c r="G30" i="1636"/>
  <c r="G29" i="1636"/>
  <c r="G28" i="1636"/>
  <c r="G27" i="1636"/>
  <c r="G26" i="1636"/>
  <c r="G25" i="1636"/>
  <c r="G24" i="1636"/>
  <c r="G23" i="1636"/>
  <c r="G22" i="1636"/>
  <c r="G21" i="1636"/>
  <c r="G20" i="1636"/>
  <c r="G19" i="1636"/>
  <c r="G18" i="1636"/>
  <c r="G17" i="1636"/>
  <c r="G16" i="1636"/>
  <c r="G32" i="1636" l="1"/>
  <c r="G33" i="1636" l="1"/>
  <c r="G34" i="1636" s="1"/>
  <c r="C9" i="1636" s="1"/>
</calcChain>
</file>

<file path=xl/sharedStrings.xml><?xml version="1.0" encoding="utf-8"?>
<sst xmlns="http://schemas.openxmlformats.org/spreadsheetml/2006/main" count="182" uniqueCount="145">
  <si>
    <t>郵便番号</t>
    <rPh sb="0" eb="4">
      <t>ユウビンバンゴウ</t>
    </rPh>
    <phoneticPr fontId="2"/>
  </si>
  <si>
    <t>担当者</t>
    <rPh sb="0" eb="3">
      <t>タントウシャ</t>
    </rPh>
    <phoneticPr fontId="2"/>
  </si>
  <si>
    <t>単価</t>
    <rPh sb="0" eb="2">
      <t>タンカ</t>
    </rPh>
    <phoneticPr fontId="2"/>
  </si>
  <si>
    <t>単位</t>
    <rPh sb="0" eb="2">
      <t>タンイ</t>
    </rPh>
    <phoneticPr fontId="2"/>
  </si>
  <si>
    <t>会社名</t>
    <rPh sb="0" eb="3">
      <t>カイシャメイ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</si>
  <si>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</si>
  <si>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</si>
  <si>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TEL</t>
    <phoneticPr fontId="2"/>
  </si>
  <si>
    <t>株式会社A</t>
    <rPh sb="0" eb="2">
      <t>カブシキ</t>
    </rPh>
    <rPh sb="2" eb="4">
      <t>カイシャ</t>
    </rPh>
    <phoneticPr fontId="2"/>
  </si>
  <si>
    <t>株式会社B</t>
    <rPh sb="0" eb="2">
      <t>カブシキ</t>
    </rPh>
    <rPh sb="2" eb="4">
      <t>カイシャ</t>
    </rPh>
    <phoneticPr fontId="2"/>
  </si>
  <si>
    <t>No.</t>
    <phoneticPr fontId="2"/>
  </si>
  <si>
    <t>株式会社C</t>
  </si>
  <si>
    <t>株式会社D</t>
  </si>
  <si>
    <t>株式会社E</t>
  </si>
  <si>
    <t>株式会社F</t>
  </si>
  <si>
    <t>株式会社G</t>
  </si>
  <si>
    <t>株式会社H</t>
  </si>
  <si>
    <t>株式会社I</t>
  </si>
  <si>
    <t>株式会社J</t>
  </si>
  <si>
    <t>854-0063</t>
  </si>
  <si>
    <t>長崎県諫早市貝津町1-17-7</t>
  </si>
  <si>
    <t>ダイヤモンド貝津町108</t>
  </si>
  <si>
    <t>376-0306</t>
  </si>
  <si>
    <t>群馬県みどり市東町荻原3-14-16</t>
  </si>
  <si>
    <t>レジデンス東町荻原413</t>
  </si>
  <si>
    <t>950-0321</t>
  </si>
  <si>
    <t>新潟県新潟市江南区割野4-9</t>
  </si>
  <si>
    <t>キャッスル割野210</t>
  </si>
  <si>
    <t>907-0333</t>
  </si>
  <si>
    <t>沖縄県石垣市野底1-14</t>
  </si>
  <si>
    <t>399-0723</t>
  </si>
  <si>
    <t>長野県塩尻市旧塩尻3-19-20</t>
  </si>
  <si>
    <t>410-2415</t>
  </si>
  <si>
    <t>静岡県伊豆市大平3-3-1</t>
  </si>
  <si>
    <t>ステーション大平216</t>
  </si>
  <si>
    <t>779-1246</t>
  </si>
  <si>
    <t>徳島県阿南市那賀川町北中島1-3</t>
  </si>
  <si>
    <t>パーク那賀川町北中島104</t>
  </si>
  <si>
    <t>689-4214</t>
  </si>
  <si>
    <t>鳥取県西伯郡伯耆町岩立2-17-14</t>
  </si>
  <si>
    <t>岩立スカイ409</t>
  </si>
  <si>
    <t>342-0006</t>
  </si>
  <si>
    <t>埼玉県吉川市南広島3-16-10</t>
  </si>
  <si>
    <t>南広島フォレスト100</t>
  </si>
  <si>
    <t>701-1225</t>
  </si>
  <si>
    <t>岡山県岡山市北区福谷2-18-14</t>
  </si>
  <si>
    <t>095-113-5867</t>
  </si>
  <si>
    <t>027-606-6964</t>
  </si>
  <si>
    <t>0254-38-2817</t>
  </si>
  <si>
    <t>098-448-1582</t>
  </si>
  <si>
    <t>026-905-6129</t>
  </si>
  <si>
    <t>0539-71-6241</t>
  </si>
  <si>
    <t>088-631-4343</t>
  </si>
  <si>
    <t>0858-58-3583</t>
  </si>
  <si>
    <t>04-5392-9716</t>
  </si>
  <si>
    <t>086-877-2881</t>
  </si>
  <si>
    <t>蛭田　信男</t>
  </si>
  <si>
    <t>寺島　覚</t>
  </si>
  <si>
    <t>河井　知代</t>
  </si>
  <si>
    <t>大下　昭一</t>
  </si>
  <si>
    <t>桑原　司</t>
  </si>
  <si>
    <t>風間　由菜</t>
  </si>
  <si>
    <t>百瀬　忠志</t>
  </si>
  <si>
    <t>藤原　武男</t>
  </si>
  <si>
    <t>川嶋　威雄</t>
  </si>
  <si>
    <t>斎藤　耕筰</t>
  </si>
  <si>
    <t>商品名</t>
    <rPh sb="0" eb="3">
      <t>ショウヒンメイ</t>
    </rPh>
    <phoneticPr fontId="2"/>
  </si>
  <si>
    <t>商品1</t>
    <rPh sb="0" eb="2">
      <t>ショウヒン</t>
    </rPh>
    <phoneticPr fontId="2"/>
  </si>
  <si>
    <t>商品2</t>
    <rPh sb="0" eb="2">
      <t>ショウヒン</t>
    </rPh>
    <phoneticPr fontId="2"/>
  </si>
  <si>
    <t>商品3</t>
    <rPh sb="0" eb="2">
      <t>ショウヒン</t>
    </rPh>
    <phoneticPr fontId="2"/>
  </si>
  <si>
    <t>商品4</t>
    <rPh sb="0" eb="2">
      <t>ショウヒン</t>
    </rPh>
    <phoneticPr fontId="2"/>
  </si>
  <si>
    <t>商品5</t>
    <rPh sb="0" eb="2">
      <t>ショウヒン</t>
    </rPh>
    <phoneticPr fontId="2"/>
  </si>
  <si>
    <t>商品6</t>
    <rPh sb="0" eb="2">
      <t>ショウヒン</t>
    </rPh>
    <phoneticPr fontId="2"/>
  </si>
  <si>
    <t>商品7</t>
    <rPh sb="0" eb="2">
      <t>ショウヒン</t>
    </rPh>
    <phoneticPr fontId="2"/>
  </si>
  <si>
    <t>商品8</t>
    <rPh sb="0" eb="2">
      <t>ショウヒン</t>
    </rPh>
    <phoneticPr fontId="2"/>
  </si>
  <si>
    <t>商品9</t>
    <rPh sb="0" eb="2">
      <t>ショウヒン</t>
    </rPh>
    <phoneticPr fontId="2"/>
  </si>
  <si>
    <t>商品10</t>
    <rPh sb="0" eb="2">
      <t>ショウヒン</t>
    </rPh>
    <phoneticPr fontId="2"/>
  </si>
  <si>
    <t>個</t>
    <rPh sb="0" eb="1">
      <t>コ</t>
    </rPh>
    <phoneticPr fontId="2"/>
  </si>
  <si>
    <t>箱</t>
    <rPh sb="0" eb="1">
      <t>ハコ</t>
    </rPh>
    <phoneticPr fontId="2"/>
  </si>
  <si>
    <t>本</t>
    <rPh sb="0" eb="1">
      <t>ホン</t>
    </rPh>
    <phoneticPr fontId="2"/>
  </si>
  <si>
    <t>枚</t>
    <rPh sb="0" eb="1">
      <t>マイ</t>
    </rPh>
    <phoneticPr fontId="2"/>
  </si>
  <si>
    <t>セット</t>
    <phoneticPr fontId="2"/>
  </si>
  <si>
    <t>c0001</t>
    <phoneticPr fontId="2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</si>
  <si>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</si>
  <si>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</si>
  <si>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</si>
  <si>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</si>
  <si>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</si>
  <si>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</si>
  <si>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</si>
  <si>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</si>
  <si>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</si>
  <si>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p0001</t>
    <phoneticPr fontId="2"/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</si>
  <si>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</si>
  <si>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</si>
  <si>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</si>
  <si>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</si>
  <si>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</si>
  <si>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</si>
  <si>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</si>
  <si>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</si>
  <si>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</si>
  <si>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請求日</t>
    <rPh sb="0" eb="2">
      <t>セイキュウ</t>
    </rPh>
    <rPh sb="2" eb="3">
      <t>ヒ</t>
    </rPh>
    <phoneticPr fontId="2"/>
  </si>
  <si>
    <t>〒222-2222</t>
    <phoneticPr fontId="2"/>
  </si>
  <si>
    <t>大阪府大阪市●-●-●</t>
    <rPh sb="0" eb="3">
      <t>オオサカフ</t>
    </rPh>
    <rPh sb="3" eb="6">
      <t>オオサカシ</t>
    </rPh>
    <phoneticPr fontId="2"/>
  </si>
  <si>
    <t>TEL 00-0000-0000</t>
    <phoneticPr fontId="2"/>
  </si>
  <si>
    <t>合計金額</t>
    <rPh sb="0" eb="2">
      <t>ゴウケイ</t>
    </rPh>
    <rPh sb="2" eb="4">
      <t>キンガク</t>
    </rPh>
    <phoneticPr fontId="2"/>
  </si>
  <si>
    <t>FAX 00-0000-0000</t>
    <phoneticPr fontId="2"/>
  </si>
  <si>
    <t>金額（税抜）</t>
    <rPh sb="0" eb="2">
      <t>キンガク</t>
    </rPh>
    <rPh sb="3" eb="4">
      <t>ゼイ</t>
    </rPh>
    <rPh sb="4" eb="5">
      <t>ヌ</t>
    </rPh>
    <phoneticPr fontId="2"/>
  </si>
  <si>
    <t>小計</t>
    <rPh sb="0" eb="2">
      <t>ショウケイ</t>
    </rPh>
    <phoneticPr fontId="2"/>
  </si>
  <si>
    <t>消費税</t>
    <rPh sb="0" eb="2">
      <t>ショウヒ</t>
    </rPh>
    <rPh sb="2" eb="3">
      <t>ゼイ</t>
    </rPh>
    <phoneticPr fontId="2"/>
  </si>
  <si>
    <t>合計</t>
    <rPh sb="0" eb="2">
      <t>ゴウケイ</t>
    </rPh>
    <phoneticPr fontId="2"/>
  </si>
  <si>
    <t>請求日</t>
    <rPh sb="0" eb="3">
      <t>セイキュウビ</t>
    </rPh>
    <phoneticPr fontId="2"/>
  </si>
  <si>
    <t>請求No</t>
    <rPh sb="0" eb="2">
      <t>セイキュウ</t>
    </rPh>
    <phoneticPr fontId="2"/>
  </si>
  <si>
    <t>請求書No</t>
    <rPh sb="0" eb="3">
      <t>セイキュウショ</t>
    </rPh>
    <phoneticPr fontId="2"/>
  </si>
  <si>
    <t>商品コード</t>
    <rPh sb="0" eb="2">
      <t>ショウヒン</t>
    </rPh>
    <phoneticPr fontId="2"/>
  </si>
  <si>
    <t>商品名</t>
    <rPh sb="0" eb="2">
      <t>ショウヒン</t>
    </rPh>
    <rPh sb="2" eb="3">
      <t>メイ</t>
    </rPh>
    <phoneticPr fontId="2"/>
  </si>
  <si>
    <t>会社名</t>
    <rPh sb="0" eb="3">
      <t>カイシャメイ</t>
    </rPh>
    <phoneticPr fontId="2"/>
  </si>
  <si>
    <t>　御中</t>
    <phoneticPr fontId="2"/>
  </si>
  <si>
    <t>〒</t>
    <phoneticPr fontId="2"/>
  </si>
  <si>
    <t>商品コード</t>
    <rPh sb="0" eb="2">
      <t>ショウヒン</t>
    </rPh>
    <phoneticPr fontId="2"/>
  </si>
  <si>
    <t>個数</t>
    <rPh sb="0" eb="2">
      <t>コスウ</t>
    </rPh>
    <phoneticPr fontId="2"/>
  </si>
  <si>
    <t>会社コード</t>
    <rPh sb="0" eb="2">
      <t>カイシャ</t>
    </rPh>
    <phoneticPr fontId="2"/>
  </si>
  <si>
    <t>見積・請求No</t>
    <rPh sb="0" eb="2">
      <t>ミツモ</t>
    </rPh>
    <rPh sb="3" eb="5">
      <t>セイキュウ</t>
    </rPh>
    <phoneticPr fontId="2"/>
  </si>
  <si>
    <t>請求金額</t>
    <rPh sb="0" eb="2">
      <t>セイキュウ</t>
    </rPh>
    <rPh sb="2" eb="4">
      <t>キンガク</t>
    </rPh>
    <phoneticPr fontId="2"/>
  </si>
  <si>
    <t>請求日</t>
    <rPh sb="0" eb="3">
      <t>セイキュウビ</t>
    </rPh>
    <phoneticPr fontId="2"/>
  </si>
  <si>
    <t>請　求　書</t>
    <phoneticPr fontId="2"/>
  </si>
  <si>
    <t>株式会社▲▲</t>
    <rPh sb="0" eb="2">
      <t>カブシキ</t>
    </rPh>
    <rPh sb="2" eb="4">
      <t>カイシャ</t>
    </rPh>
    <phoneticPr fontId="2"/>
  </si>
  <si>
    <t>振込先　●●銀行　普通預金　口座番号：0123・・・　名義：カ）▲▲</t>
    <rPh sb="0" eb="3">
      <t>フリコミサキ</t>
    </rPh>
    <rPh sb="6" eb="8">
      <t>ギンコウ</t>
    </rPh>
    <rPh sb="9" eb="11">
      <t>フツウ</t>
    </rPh>
    <rPh sb="11" eb="13">
      <t>ヨキン</t>
    </rPh>
    <rPh sb="14" eb="16">
      <t>コウザ</t>
    </rPh>
    <rPh sb="16" eb="18">
      <t>バンゴウ</t>
    </rPh>
    <rPh sb="27" eb="29">
      <t>メイギ</t>
    </rPh>
    <phoneticPr fontId="2"/>
  </si>
  <si>
    <t>会社コード</t>
    <rPh sb="0" eb="2">
      <t>カイシャ</t>
    </rPh>
    <phoneticPr fontId="2"/>
  </si>
  <si>
    <t>c0001</t>
  </si>
  <si>
    <t>c0001</t>
    <phoneticPr fontId="2"/>
  </si>
  <si>
    <t>p0001</t>
  </si>
  <si>
    <t>p0001</t>
    <phoneticPr fontId="2"/>
  </si>
  <si>
    <t>a</t>
    <phoneticPr fontId="2"/>
  </si>
  <si>
    <t>株式会社A</t>
  </si>
  <si>
    <t>株式会社A</t>
    <phoneticPr fontId="2"/>
  </si>
  <si>
    <t>商品1</t>
  </si>
  <si>
    <t>個</t>
  </si>
  <si>
    <t>p0002</t>
    <phoneticPr fontId="2"/>
  </si>
  <si>
    <t>p0003</t>
    <phoneticPr fontId="2"/>
  </si>
  <si>
    <t>商品2</t>
  </si>
  <si>
    <t>箱</t>
  </si>
  <si>
    <t>商品3</t>
  </si>
  <si>
    <t>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</si>
</sst>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&quot;¥&quot;#,##0_);[Red]\(&quot;¥&quot;#,##0\)"/>
    <numFmt numFmtId="181" formatCode="m&quot;月&quot;d&quot;日&quot;;@"/>
  </numFmts>
  <fonts count="1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176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38" fontId="6" fillId="0" borderId="2" xfId="4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5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2" xfId="0" applyNumberFormat="1" applyBorder="1">
      <alignment vertical="center"/>
    </xf>
    <xf numFmtId="0" fontId="0" fillId="4" borderId="2" xfId="0" applyFill="1" applyBorder="1" applyAlignment="1">
      <alignment horizontal="center" vertical="center"/>
    </xf>
    <xf numFmtId="38" fontId="0" fillId="0" borderId="2" xfId="4" applyFont="1" applyBorder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3" xfId="0" applyFill="1" applyBorder="1" applyAlignment="1">
      <alignment horizontal="right" vertical="center"/>
    </xf>
    <xf numFmtId="38" fontId="0" fillId="0" borderId="3" xfId="4" applyNumberFormat="1" applyFont="1" applyBorder="1">
      <alignment vertical="center"/>
    </xf>
    <xf numFmtId="0" fontId="0" fillId="3" borderId="4" xfId="0" applyFill="1" applyBorder="1" applyAlignment="1">
      <alignment horizontal="right" vertical="center"/>
    </xf>
    <xf numFmtId="38" fontId="0" fillId="0" borderId="4" xfId="4" applyFon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38" fontId="0" fillId="0" borderId="1" xfId="4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56" fontId="0" fillId="5" borderId="2" xfId="0" applyNumberFormat="1" applyFill="1" applyBorder="1">
      <alignment vertical="center"/>
    </xf>
    <xf numFmtId="0" fontId="0" fillId="5" borderId="2" xfId="0" applyFill="1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NumberFormat="1" applyAlignment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81" fontId="0" fillId="0" borderId="0" xfId="0" applyNumberFormat="1" applyBorder="1">
      <alignment vertical="center"/>
    </xf>
    <xf numFmtId="181" fontId="0" fillId="0" borderId="0" xfId="0" applyNumberFormat="1">
      <alignment vertical="center"/>
    </xf>
  </cellXfs>
  <cellStyles count="5">
    <cellStyle name="桁区切り" xfId="4" builtinId="6"/>
    <cellStyle name="桁区切り 2" xfId="3" xr:uid="{00000000-0005-0000-0000-000000000000}"/>
    <cellStyle name="通貨 2" xfId="2" xr:uid="{00000000-0005-0000-0000-000002000000}"/>
    <cellStyle name="標準" xfId="0" builtinId="0"/>
    <cellStyle name="標準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ED937-FC07-41A9-9A2C-C8EF35F61913}">
  <sheetPr codeName="Sheet6"/>
  <dimension ref="A1:J36"/>
  <sheetViews>
    <sheetView zoomScale="90" zoomScaleNormal="90" workbookViewId="0">
      <selection activeCell="C14" sqref="C14"/>
    </sheetView>
  </sheetViews>
  <sheetFormatPr defaultColWidth="8.86328125" defaultRowHeight="12.75" x14ac:dyDescent="0.25"/>
  <cols>
    <col min="1" max="1" width="5.796875" style="1" customWidth="1"/>
    <col min="2" max="2" width="12.796875" style="1" customWidth="1"/>
    <col min="3" max="3" width="25.796875" style="1" customWidth="1"/>
    <col min="4" max="4" width="10.796875" style="1" customWidth="1"/>
    <col min="5" max="5" width="6.796875" style="1" customWidth="1"/>
    <col min="6" max="6" width="10.796875" style="1" customWidth="1"/>
    <col min="7" max="7" width="15.796875" style="1" customWidth="1"/>
    <col min="8" max="8" width="8.86328125" style="1"/>
    <col min="9" max="9" width="9.796875" style="1" bestFit="1" customWidth="1"/>
    <col min="10" max="16384" width="8.86328125" style="1"/>
  </cols>
  <sheetData>
    <row r="1" spans="1:10" ht="20" customHeight="1" x14ac:dyDescent="0.25">
      <c r="A1" s="37" t="s">
        <v>126</v>
      </c>
      <c r="B1" s="37"/>
      <c r="C1" s="37"/>
      <c r="D1" s="37"/>
      <c r="E1" s="37"/>
      <c r="F1" s="37"/>
      <c r="G1" s="37"/>
    </row>
    <row r="2" spans="1:10" ht="20" customHeight="1" x14ac:dyDescent="0.25">
      <c r="A2" s="12"/>
      <c r="B2" s="12"/>
      <c r="C2" s="12"/>
      <c r="D2" s="12"/>
      <c r="E2" s="12"/>
      <c r="F2" s="23" t="s">
        <v>10</v>
      </c>
      <c r="G2" s="23">
        <v>100001</v>
      </c>
      <c r="I2" s="1" t="s">
        <v>129</v>
      </c>
      <c r="J2" s="1" t="s">
        <v>131</v>
      </c>
    </row>
    <row r="3" spans="1:10" ht="20" customHeight="1" x14ac:dyDescent="0.25">
      <c r="F3" s="24" t="s">
        <v>102</v>
      </c>
      <c r="G3" s="13">
        <v>43466</v>
      </c>
    </row>
    <row r="4" spans="1:10" ht="20" customHeight="1" x14ac:dyDescent="0.25">
      <c r="A4" s="25" t="s">
        <v>119</v>
      </c>
      <c r="B4" s="39" t="str">
        <f>IF($J$2="","会社コードを入力してください",VLOOKUP($J$2,会社一覧!A:G,5,FALSE))</f>
        <v>854-0063</v>
      </c>
      <c r="C4" s="39"/>
    </row>
    <row r="5" spans="1:10" ht="20" customHeight="1" x14ac:dyDescent="0.25">
      <c r="A5" s="30"/>
      <c r="B5" s="39" t="str">
        <f>IF($J$2="","",VLOOKUP($J$2,会社一覧!A:G,6,FALSE))</f>
        <v>長崎県諫早市貝津町1-17-7</v>
      </c>
      <c r="C5" s="39"/>
      <c r="F5" s="38" t="s">
        <v>103</v>
      </c>
      <c r="G5" s="38"/>
    </row>
    <row r="6" spans="1:10" ht="20" customHeight="1" x14ac:dyDescent="0.25">
      <c r="A6" s="30"/>
      <c r="B6" s="39" t="str">
        <f>IF($J$2="","",VLOOKUP($J$2,会社一覧!A:G,7,FALSE))</f>
        <v>ダイヤモンド貝津町108</v>
      </c>
      <c r="C6" s="39"/>
      <c r="F6" s="38" t="s">
        <v>104</v>
      </c>
      <c r="G6" s="38"/>
    </row>
    <row r="7" spans="1:10" ht="20" customHeight="1" x14ac:dyDescent="0.25">
      <c r="A7" s="29"/>
      <c r="B7" s="39" t="str">
        <f>IF($J$2="","",VLOOKUP($J$2,会社一覧!A:G,2,FALSE))</f>
        <v>株式会社A</v>
      </c>
      <c r="C7" s="39"/>
      <c r="D7" s="1" t="s">
        <v>118</v>
      </c>
      <c r="F7" s="38" t="s">
        <v>127</v>
      </c>
      <c r="G7" s="38"/>
    </row>
    <row r="8" spans="1:10" ht="20" customHeight="1" x14ac:dyDescent="0.25">
      <c r="F8" s="38" t="s">
        <v>105</v>
      </c>
      <c r="G8" s="38"/>
      <c r="J8" s="1" t="s">
        <v>134</v>
      </c>
    </row>
    <row r="9" spans="1:10" ht="20" customHeight="1" x14ac:dyDescent="0.25">
      <c r="A9" s="40" t="s">
        <v>106</v>
      </c>
      <c r="B9" s="41"/>
      <c r="C9" s="15">
        <f>G34</f>
        <v>60280</v>
      </c>
      <c r="F9" s="38" t="s">
        <v>107</v>
      </c>
      <c r="G9" s="38"/>
    </row>
    <row r="10" spans="1:10" ht="20" customHeight="1" x14ac:dyDescent="0.25"/>
    <row r="11" spans="1:10" ht="20" customHeight="1" x14ac:dyDescent="0.25">
      <c r="A11" s="16" t="s">
        <v>10</v>
      </c>
      <c r="B11" s="16" t="s">
        <v>120</v>
      </c>
      <c r="C11" s="16" t="s">
        <v>116</v>
      </c>
      <c r="D11" s="16" t="s">
        <v>2</v>
      </c>
      <c r="E11" s="26" t="s">
        <v>3</v>
      </c>
      <c r="F11" s="16" t="s">
        <v>121</v>
      </c>
      <c r="G11" s="16" t="s">
        <v>108</v>
      </c>
    </row>
    <row r="12" spans="1:10" ht="20" customHeight="1" x14ac:dyDescent="0.25">
      <c r="A12" s="2">
        <v>1</v>
      </c>
      <c r="B12" s="32" t="s">
        <v>133</v>
      </c>
      <c r="C12" s="2" t="str">
        <f>IF(B12="","",VLOOKUP(B12,商品一覧!A:D,2,FALSE))</f>
        <v>商品1</v>
      </c>
      <c r="D12" s="17">
        <f>IF(B12="","",VLOOKUP(B12,商品一覧!A:D,3,FALSE))</f>
        <v>9500</v>
      </c>
      <c r="E12" s="27" t="str">
        <f>IF(B12="","",VLOOKUP(B12,商品一覧!A:D,4,FALSE))</f>
        <v>個</v>
      </c>
      <c r="F12" s="33">
        <v>2</v>
      </c>
      <c r="G12" s="17">
        <f>IF(F12="","",D12*F12)</f>
        <v>19000</v>
      </c>
    </row>
    <row r="13" spans="1:10" ht="20" customHeight="1" x14ac:dyDescent="0.25">
      <c r="A13" s="2">
        <v>2</v>
      </c>
      <c r="B13" s="33" t="s">
        <v>139</v>
      </c>
      <c r="C13" s="2" t="str">
        <f>IF(B13="","",VLOOKUP(B13,商品一覧!A:D,2,FALSE))</f>
        <v>商品2</v>
      </c>
      <c r="D13" s="17">
        <f>IF(B13="","",VLOOKUP(B13,商品一覧!A:D,3,FALSE))</f>
        <v>7400</v>
      </c>
      <c r="E13" s="27" t="str">
        <f>IF(B13="","",VLOOKUP(B13,商品一覧!A:D,4,FALSE))</f>
        <v>箱</v>
      </c>
      <c r="F13" s="33">
        <v>3</v>
      </c>
      <c r="G13" s="17">
        <f t="shared" ref="G13:G31" si="0">IF(F13="","",D13*F13)</f>
        <v>22200</v>
      </c>
    </row>
    <row r="14" spans="1:10" ht="20" customHeight="1" x14ac:dyDescent="0.25">
      <c r="A14" s="2">
        <v>3</v>
      </c>
      <c r="B14" s="33" t="s">
        <v>140</v>
      </c>
      <c r="C14" s="2" t="str">
        <f>IF(B14="","",VLOOKUP(B14,商品一覧!A:D,2,FALSE))</f>
        <v>商品3</v>
      </c>
      <c r="D14" s="17">
        <f>IF(B14="","",VLOOKUP(B14,商品一覧!A:D,3,FALSE))</f>
        <v>3400</v>
      </c>
      <c r="E14" s="27" t="str">
        <f>IF(B14="","",VLOOKUP(B14,商品一覧!A:D,4,FALSE))</f>
        <v>本</v>
      </c>
      <c r="F14" s="33">
        <v>4</v>
      </c>
      <c r="G14" s="17">
        <f t="shared" si="0"/>
        <v>13600</v>
      </c>
    </row>
    <row r="15" spans="1:10" ht="20" customHeight="1" x14ac:dyDescent="0.25">
      <c r="A15" s="2">
        <v>4</v>
      </c>
      <c r="B15" s="33"/>
      <c r="C15" s="2" t="str">
        <f>IF(B15="","",VLOOKUP(B15,商品一覧!A:D,2,FALSE))</f>
        <v/>
      </c>
      <c r="D15" s="17" t="str">
        <f>IF(B15="","",VLOOKUP(B15,商品一覧!A:D,3,FALSE))</f>
        <v/>
      </c>
      <c r="E15" s="27" t="str">
        <f>IF(B15="","",VLOOKUP(B15,商品一覧!A:D,4,FALSE))</f>
        <v/>
      </c>
      <c r="F15" s="33"/>
      <c r="G15" s="17" t="str">
        <f t="shared" si="0"/>
        <v/>
      </c>
    </row>
    <row r="16" spans="1:10" ht="20" customHeight="1" x14ac:dyDescent="0.25">
      <c r="A16" s="2">
        <v>5</v>
      </c>
      <c r="B16" s="33"/>
      <c r="C16" s="2" t="str">
        <f>IF(B16="","",VLOOKUP(B16,商品一覧!A:D,2,FALSE))</f>
        <v/>
      </c>
      <c r="D16" s="17" t="str">
        <f>IF(B16="","",VLOOKUP(B16,商品一覧!A:D,3,FALSE))</f>
        <v/>
      </c>
      <c r="E16" s="27" t="str">
        <f>IF(B16="","",VLOOKUP(B16,商品一覧!A:D,4,FALSE))</f>
        <v/>
      </c>
      <c r="F16" s="33"/>
      <c r="G16" s="17" t="str">
        <f t="shared" si="0"/>
        <v/>
      </c>
    </row>
    <row r="17" spans="1:7" ht="20" customHeight="1" x14ac:dyDescent="0.25">
      <c r="A17" s="2">
        <v>6</v>
      </c>
      <c r="B17" s="33"/>
      <c r="C17" s="2" t="str">
        <f>IF(B17="","",VLOOKUP(B17,商品一覧!A:D,2,FALSE))</f>
        <v/>
      </c>
      <c r="D17" s="17" t="str">
        <f>IF(B17="","",VLOOKUP(B17,商品一覧!A:D,3,FALSE))</f>
        <v/>
      </c>
      <c r="E17" s="27" t="str">
        <f>IF(B17="","",VLOOKUP(B17,商品一覧!A:D,4,FALSE))</f>
        <v/>
      </c>
      <c r="F17" s="33"/>
      <c r="G17" s="17" t="str">
        <f t="shared" si="0"/>
        <v/>
      </c>
    </row>
    <row r="18" spans="1:7" ht="20" customHeight="1" x14ac:dyDescent="0.25">
      <c r="A18" s="2">
        <v>7</v>
      </c>
      <c r="B18" s="33"/>
      <c r="C18" s="2" t="str">
        <f>IF(B18="","",VLOOKUP(B18,商品一覧!A:D,2,FALSE))</f>
        <v/>
      </c>
      <c r="D18" s="17" t="str">
        <f>IF(B18="","",VLOOKUP(B18,商品一覧!A:D,3,FALSE))</f>
        <v/>
      </c>
      <c r="E18" s="27" t="str">
        <f>IF(B18="","",VLOOKUP(B18,商品一覧!A:D,4,FALSE))</f>
        <v/>
      </c>
      <c r="F18" s="33"/>
      <c r="G18" s="17" t="str">
        <f t="shared" si="0"/>
        <v/>
      </c>
    </row>
    <row r="19" spans="1:7" ht="20" customHeight="1" x14ac:dyDescent="0.25">
      <c r="A19" s="2">
        <v>8</v>
      </c>
      <c r="B19" s="33"/>
      <c r="C19" s="2" t="str">
        <f>IF(B19="","",VLOOKUP(B19,商品一覧!A:D,2,FALSE))</f>
        <v/>
      </c>
      <c r="D19" s="17" t="str">
        <f>IF(B19="","",VLOOKUP(B19,商品一覧!A:D,3,FALSE))</f>
        <v/>
      </c>
      <c r="E19" s="27" t="str">
        <f>IF(B19="","",VLOOKUP(B19,商品一覧!A:D,4,FALSE))</f>
        <v/>
      </c>
      <c r="F19" s="33"/>
      <c r="G19" s="17" t="str">
        <f t="shared" si="0"/>
        <v/>
      </c>
    </row>
    <row r="20" spans="1:7" ht="20" customHeight="1" x14ac:dyDescent="0.25">
      <c r="A20" s="2">
        <v>9</v>
      </c>
      <c r="B20" s="33"/>
      <c r="C20" s="2" t="str">
        <f>IF(B20="","",VLOOKUP(B20,商品一覧!A:D,2,FALSE))</f>
        <v/>
      </c>
      <c r="D20" s="17" t="str">
        <f>IF(B20="","",VLOOKUP(B20,商品一覧!A:D,3,FALSE))</f>
        <v/>
      </c>
      <c r="E20" s="27" t="str">
        <f>IF(B20="","",VLOOKUP(B20,商品一覧!A:D,4,FALSE))</f>
        <v/>
      </c>
      <c r="F20" s="33"/>
      <c r="G20" s="17" t="str">
        <f t="shared" si="0"/>
        <v/>
      </c>
    </row>
    <row r="21" spans="1:7" ht="20" customHeight="1" x14ac:dyDescent="0.25">
      <c r="A21" s="2">
        <v>10</v>
      </c>
      <c r="B21" s="33"/>
      <c r="C21" s="2" t="str">
        <f>IF(B21="","",VLOOKUP(B21,商品一覧!A:D,2,FALSE))</f>
        <v/>
      </c>
      <c r="D21" s="17" t="str">
        <f>IF(B21="","",VLOOKUP(B21,商品一覧!A:D,3,FALSE))</f>
        <v/>
      </c>
      <c r="E21" s="27" t="str">
        <f>IF(B21="","",VLOOKUP(B21,商品一覧!A:D,4,FALSE))</f>
        <v/>
      </c>
      <c r="F21" s="33"/>
      <c r="G21" s="17" t="str">
        <f t="shared" si="0"/>
        <v/>
      </c>
    </row>
    <row r="22" spans="1:7" ht="20" customHeight="1" x14ac:dyDescent="0.25">
      <c r="A22" s="2">
        <v>11</v>
      </c>
      <c r="B22" s="33"/>
      <c r="C22" s="2" t="str">
        <f>IF(B22="","",VLOOKUP(B22,商品一覧!A:D,2,FALSE))</f>
        <v/>
      </c>
      <c r="D22" s="17" t="str">
        <f>IF(B22="","",VLOOKUP(B22,商品一覧!A:D,3,FALSE))</f>
        <v/>
      </c>
      <c r="E22" s="27" t="str">
        <f>IF(B22="","",VLOOKUP(B22,商品一覧!A:D,4,FALSE))</f>
        <v/>
      </c>
      <c r="F22" s="33"/>
      <c r="G22" s="17" t="str">
        <f t="shared" si="0"/>
        <v/>
      </c>
    </row>
    <row r="23" spans="1:7" ht="20" customHeight="1" x14ac:dyDescent="0.25">
      <c r="A23" s="2">
        <v>12</v>
      </c>
      <c r="B23" s="33"/>
      <c r="C23" s="2" t="str">
        <f>IF(B23="","",VLOOKUP(B23,商品一覧!A:D,2,FALSE))</f>
        <v/>
      </c>
      <c r="D23" s="17" t="str">
        <f>IF(B23="","",VLOOKUP(B23,商品一覧!A:D,3,FALSE))</f>
        <v/>
      </c>
      <c r="E23" s="27" t="str">
        <f>IF(B23="","",VLOOKUP(B23,商品一覧!A:D,4,FALSE))</f>
        <v/>
      </c>
      <c r="F23" s="33"/>
      <c r="G23" s="17" t="str">
        <f t="shared" si="0"/>
        <v/>
      </c>
    </row>
    <row r="24" spans="1:7" ht="20" customHeight="1" x14ac:dyDescent="0.25">
      <c r="A24" s="2">
        <v>13</v>
      </c>
      <c r="B24" s="33"/>
      <c r="C24" s="2" t="str">
        <f>IF(B24="","",VLOOKUP(B24,商品一覧!A:D,2,FALSE))</f>
        <v/>
      </c>
      <c r="D24" s="17" t="str">
        <f>IF(B24="","",VLOOKUP(B24,商品一覧!A:D,3,FALSE))</f>
        <v/>
      </c>
      <c r="E24" s="27" t="str">
        <f>IF(B24="","",VLOOKUP(B24,商品一覧!A:D,4,FALSE))</f>
        <v/>
      </c>
      <c r="F24" s="33"/>
      <c r="G24" s="17" t="str">
        <f t="shared" si="0"/>
        <v/>
      </c>
    </row>
    <row r="25" spans="1:7" ht="20" customHeight="1" x14ac:dyDescent="0.25">
      <c r="A25" s="2">
        <v>14</v>
      </c>
      <c r="B25" s="33"/>
      <c r="C25" s="2" t="str">
        <f>IF(B25="","",VLOOKUP(B25,商品一覧!A:D,2,FALSE))</f>
        <v/>
      </c>
      <c r="D25" s="17" t="str">
        <f>IF(B25="","",VLOOKUP(B25,商品一覧!A:D,3,FALSE))</f>
        <v/>
      </c>
      <c r="E25" s="27" t="str">
        <f>IF(B25="","",VLOOKUP(B25,商品一覧!A:D,4,FALSE))</f>
        <v/>
      </c>
      <c r="F25" s="33"/>
      <c r="G25" s="17" t="str">
        <f t="shared" si="0"/>
        <v/>
      </c>
    </row>
    <row r="26" spans="1:7" ht="20" customHeight="1" x14ac:dyDescent="0.25">
      <c r="A26" s="2">
        <v>15</v>
      </c>
      <c r="B26" s="33"/>
      <c r="C26" s="2" t="str">
        <f>IF(B26="","",VLOOKUP(B26,商品一覧!A:D,2,FALSE))</f>
        <v/>
      </c>
      <c r="D26" s="17" t="str">
        <f>IF(B26="","",VLOOKUP(B26,商品一覧!A:D,3,FALSE))</f>
        <v/>
      </c>
      <c r="E26" s="27" t="str">
        <f>IF(B26="","",VLOOKUP(B26,商品一覧!A:D,4,FALSE))</f>
        <v/>
      </c>
      <c r="F26" s="33"/>
      <c r="G26" s="17" t="str">
        <f t="shared" si="0"/>
        <v/>
      </c>
    </row>
    <row r="27" spans="1:7" ht="20" customHeight="1" x14ac:dyDescent="0.25">
      <c r="A27" s="2">
        <v>16</v>
      </c>
      <c r="B27" s="33"/>
      <c r="C27" s="2" t="str">
        <f>IF(B27="","",VLOOKUP(B27,商品一覧!A:D,2,FALSE))</f>
        <v/>
      </c>
      <c r="D27" s="17" t="str">
        <f>IF(B27="","",VLOOKUP(B27,商品一覧!A:D,3,FALSE))</f>
        <v/>
      </c>
      <c r="E27" s="27" t="str">
        <f>IF(B27="","",VLOOKUP(B27,商品一覧!A:D,4,FALSE))</f>
        <v/>
      </c>
      <c r="F27" s="33"/>
      <c r="G27" s="17" t="str">
        <f t="shared" si="0"/>
        <v/>
      </c>
    </row>
    <row r="28" spans="1:7" ht="20" customHeight="1" x14ac:dyDescent="0.25">
      <c r="A28" s="2">
        <v>17</v>
      </c>
      <c r="B28" s="33"/>
      <c r="C28" s="2" t="str">
        <f>IF(B28="","",VLOOKUP(B28,商品一覧!A:D,2,FALSE))</f>
        <v/>
      </c>
      <c r="D28" s="17" t="str">
        <f>IF(B28="","",VLOOKUP(B28,商品一覧!A:D,3,FALSE))</f>
        <v/>
      </c>
      <c r="E28" s="27" t="str">
        <f>IF(B28="","",VLOOKUP(B28,商品一覧!A:D,4,FALSE))</f>
        <v/>
      </c>
      <c r="F28" s="33"/>
      <c r="G28" s="17" t="str">
        <f t="shared" si="0"/>
        <v/>
      </c>
    </row>
    <row r="29" spans="1:7" ht="20" customHeight="1" x14ac:dyDescent="0.25">
      <c r="A29" s="2">
        <v>18</v>
      </c>
      <c r="B29" s="33"/>
      <c r="C29" s="2" t="str">
        <f>IF(B29="","",VLOOKUP(B29,商品一覧!A:D,2,FALSE))</f>
        <v/>
      </c>
      <c r="D29" s="17" t="str">
        <f>IF(B29="","",VLOOKUP(B29,商品一覧!A:D,3,FALSE))</f>
        <v/>
      </c>
      <c r="E29" s="27" t="str">
        <f>IF(B29="","",VLOOKUP(B29,商品一覧!A:D,4,FALSE))</f>
        <v/>
      </c>
      <c r="F29" s="33"/>
      <c r="G29" s="17" t="str">
        <f t="shared" si="0"/>
        <v/>
      </c>
    </row>
    <row r="30" spans="1:7" ht="20" customHeight="1" x14ac:dyDescent="0.25">
      <c r="A30" s="2">
        <v>19</v>
      </c>
      <c r="B30" s="33"/>
      <c r="C30" s="2" t="str">
        <f>IF(B30="","",VLOOKUP(B30,商品一覧!A:D,2,FALSE))</f>
        <v/>
      </c>
      <c r="D30" s="17" t="str">
        <f>IF(B30="","",VLOOKUP(B30,商品一覧!A:D,3,FALSE))</f>
        <v/>
      </c>
      <c r="E30" s="27" t="str">
        <f>IF(B30="","",VLOOKUP(B30,商品一覧!A:D,4,FALSE))</f>
        <v/>
      </c>
      <c r="F30" s="33"/>
      <c r="G30" s="17" t="str">
        <f t="shared" si="0"/>
        <v/>
      </c>
    </row>
    <row r="31" spans="1:7" ht="20" customHeight="1" x14ac:dyDescent="0.25">
      <c r="A31" s="2">
        <v>20</v>
      </c>
      <c r="B31" s="33"/>
      <c r="C31" s="2" t="str">
        <f>IF(B31="","",VLOOKUP(B31,商品一覧!A:D,2,FALSE))</f>
        <v/>
      </c>
      <c r="D31" s="17" t="str">
        <f>IF(B31="","",VLOOKUP(B31,商品一覧!A:D,3,FALSE))</f>
        <v/>
      </c>
      <c r="E31" s="27" t="str">
        <f>IF(B31="","",VLOOKUP(B31,商品一覧!A:D,4,FALSE))</f>
        <v/>
      </c>
      <c r="F31" s="33"/>
      <c r="G31" s="17" t="str">
        <f t="shared" si="0"/>
        <v/>
      </c>
    </row>
    <row r="32" spans="1:7" ht="20" customHeight="1" x14ac:dyDescent="0.25">
      <c r="F32" s="18" t="s">
        <v>109</v>
      </c>
      <c r="G32" s="17">
        <f>SUM(G12:G31)</f>
        <v>54800</v>
      </c>
    </row>
    <row r="33" spans="1:7" ht="20" customHeight="1" thickBot="1" x14ac:dyDescent="0.3">
      <c r="F33" s="19" t="s">
        <v>110</v>
      </c>
      <c r="G33" s="20">
        <f>INT(G32*0.1)</f>
        <v>5480</v>
      </c>
    </row>
    <row r="34" spans="1:7" ht="20" customHeight="1" thickTop="1" x14ac:dyDescent="0.25">
      <c r="F34" s="21" t="s">
        <v>111</v>
      </c>
      <c r="G34" s="22">
        <f>SUM(G32:G33)</f>
        <v>60280</v>
      </c>
    </row>
    <row r="35" spans="1:7" ht="20" customHeight="1" x14ac:dyDescent="0.25"/>
    <row r="36" spans="1:7" ht="20" customHeight="1" x14ac:dyDescent="0.25">
      <c r="A36" s="34" t="s">
        <v>128</v>
      </c>
      <c r="B36" s="35"/>
      <c r="C36" s="35"/>
      <c r="D36" s="35"/>
      <c r="E36" s="35"/>
      <c r="F36" s="35"/>
      <c r="G36" s="36"/>
    </row>
  </sheetData>
  <mergeCells count="12">
    <mergeCell ref="A36:G36"/>
    <mergeCell ref="A1:G1"/>
    <mergeCell ref="F5:G5"/>
    <mergeCell ref="F6:G6"/>
    <mergeCell ref="B7:C7"/>
    <mergeCell ref="B4:C4"/>
    <mergeCell ref="B5:C5"/>
    <mergeCell ref="B6:C6"/>
    <mergeCell ref="F7:G7"/>
    <mergeCell ref="F8:G8"/>
    <mergeCell ref="A9:B9"/>
    <mergeCell ref="F9:G9"/>
  </mergeCells>
  <phoneticPr fontId="2"/>
  <dataValidations count="1">
    <dataValidation imeMode="off" allowBlank="1" showInputMessage="1" showErrorMessage="1" sqref="F12:F31 B12:B31" xr:uid="{2E35D650-2A06-4897-9411-D857D3C9D065}"/>
  </dataValidations>
  <pageMargins left="0.70866141732283472" right="0.70866141732283472" top="0.74803149606299213" bottom="0.74803149606299213" header="0.31496062992125984" footer="0.31496062992125984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5D65-640D-4BDC-A0D1-BA3992A73EEE}">
  <sheetPr codeName="Sheet3"/>
  <dimension ref="A1:X56"/>
  <sheetViews>
    <sheetView workbookViewId="0"/>
  </sheetViews>
  <sheetFormatPr defaultRowHeight="12.75" x14ac:dyDescent="0.25"/>
  <cols>
    <col min="1" max="1" width="10.796875" style="1" customWidth="1"/>
    <col min="2" max="2" width="15.796875" customWidth="1"/>
    <col min="3" max="4" width="15.796875" style="1" customWidth="1"/>
    <col min="5" max="5" width="10.796875" customWidth="1"/>
    <col min="6" max="7" width="35.796875" customWidth="1"/>
  </cols>
  <sheetData>
    <row r="1" spans="1:24" ht="18" customHeight="1" x14ac:dyDescent="0.25">
      <c r="A1" s="10" t="s">
        <v>10</v>
      </c>
      <c r="B1" s="11" t="s">
        <v>4</v>
      </c>
      <c r="C1" s="11" t="s">
        <v>1</v>
      </c>
      <c r="D1" s="11" t="s">
        <v>7</v>
      </c>
      <c r="E1" s="11" t="s">
        <v>0</v>
      </c>
      <c r="F1" s="11" t="s">
        <v>5</v>
      </c>
      <c r="G1" s="11" t="s">
        <v>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3"/>
      <c r="V1" s="3"/>
      <c r="W1" s="3"/>
      <c r="X1" s="3"/>
    </row>
    <row r="2" spans="1:24" ht="18" customHeight="1" x14ac:dyDescent="0.25">
      <c r="A2" s="9" t="s">
        <v>82</v>
      </c>
      <c r="B2" s="6" t="s">
        <v>8</v>
      </c>
      <c r="C2" s="6" t="s">
        <v>56</v>
      </c>
      <c r="D2" s="6" t="s">
        <v>46</v>
      </c>
      <c r="E2" s="6" t="s">
        <v>19</v>
      </c>
      <c r="F2" s="6" t="s">
        <v>20</v>
      </c>
      <c r="G2" s="6" t="s">
        <v>21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3"/>
      <c r="V2" s="3"/>
      <c r="W2" s="3"/>
      <c r="X2" s="3"/>
    </row>
    <row r="3" spans="1:24" ht="18" customHeight="1" x14ac:dyDescent="0.25">
      <c r="A3" s="9" t="s">
        <v>83</v>
      </c>
      <c r="B3" s="6" t="s">
        <v>9</v>
      </c>
      <c r="C3" s="6" t="s">
        <v>57</v>
      </c>
      <c r="D3" s="6" t="s">
        <v>47</v>
      </c>
      <c r="E3" s="6" t="s">
        <v>22</v>
      </c>
      <c r="F3" s="6" t="s">
        <v>23</v>
      </c>
      <c r="G3" s="6" t="s">
        <v>24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/>
      <c r="V3" s="3"/>
      <c r="W3" s="3"/>
      <c r="X3" s="3"/>
    </row>
    <row r="4" spans="1:24" ht="18" customHeight="1" x14ac:dyDescent="0.25">
      <c r="A4" s="9" t="s">
        <v>84</v>
      </c>
      <c r="B4" s="6" t="s">
        <v>11</v>
      </c>
      <c r="C4" s="6" t="s">
        <v>58</v>
      </c>
      <c r="D4" s="6" t="s">
        <v>48</v>
      </c>
      <c r="E4" s="6" t="s">
        <v>25</v>
      </c>
      <c r="F4" s="6" t="s">
        <v>26</v>
      </c>
      <c r="G4" s="6" t="s">
        <v>27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3"/>
      <c r="V4" s="3"/>
      <c r="W4" s="3"/>
      <c r="X4" s="3"/>
    </row>
    <row r="5" spans="1:24" ht="18" customHeight="1" x14ac:dyDescent="0.25">
      <c r="A5" s="9" t="s">
        <v>85</v>
      </c>
      <c r="B5" s="6" t="s">
        <v>12</v>
      </c>
      <c r="C5" s="6" t="s">
        <v>59</v>
      </c>
      <c r="D5" s="6" t="s">
        <v>49</v>
      </c>
      <c r="E5" s="6" t="s">
        <v>28</v>
      </c>
      <c r="F5" s="6" t="s">
        <v>29</v>
      </c>
      <c r="G5" s="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3"/>
      <c r="V5" s="3"/>
      <c r="W5" s="3"/>
      <c r="X5" s="3"/>
    </row>
    <row r="6" spans="1:24" ht="18" customHeight="1" x14ac:dyDescent="0.25">
      <c r="A6" s="9" t="s">
        <v>86</v>
      </c>
      <c r="B6" s="6" t="s">
        <v>13</v>
      </c>
      <c r="C6" s="6" t="s">
        <v>60</v>
      </c>
      <c r="D6" s="6" t="s">
        <v>50</v>
      </c>
      <c r="E6" s="6" t="s">
        <v>30</v>
      </c>
      <c r="F6" s="6" t="s">
        <v>31</v>
      </c>
      <c r="G6" s="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3"/>
      <c r="V6" s="3"/>
      <c r="W6" s="3"/>
      <c r="X6" s="3"/>
    </row>
    <row r="7" spans="1:24" ht="18" customHeight="1" x14ac:dyDescent="0.25">
      <c r="A7" s="9" t="s">
        <v>87</v>
      </c>
      <c r="B7" s="6" t="s">
        <v>14</v>
      </c>
      <c r="C7" s="6" t="s">
        <v>61</v>
      </c>
      <c r="D7" s="6" t="s">
        <v>51</v>
      </c>
      <c r="E7" s="6" t="s">
        <v>32</v>
      </c>
      <c r="F7" s="6" t="s">
        <v>33</v>
      </c>
      <c r="G7" s="6" t="s">
        <v>34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3"/>
      <c r="V7" s="3"/>
      <c r="W7" s="3"/>
      <c r="X7" s="3"/>
    </row>
    <row r="8" spans="1:24" ht="18" customHeight="1" x14ac:dyDescent="0.25">
      <c r="A8" s="9" t="s">
        <v>88</v>
      </c>
      <c r="B8" s="6" t="s">
        <v>15</v>
      </c>
      <c r="C8" s="6" t="s">
        <v>62</v>
      </c>
      <c r="D8" s="6" t="s">
        <v>52</v>
      </c>
      <c r="E8" s="6" t="s">
        <v>35</v>
      </c>
      <c r="F8" s="6" t="s">
        <v>36</v>
      </c>
      <c r="G8" s="6" t="s">
        <v>37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3"/>
      <c r="V8" s="3"/>
      <c r="W8" s="3"/>
      <c r="X8" s="3"/>
    </row>
    <row r="9" spans="1:24" ht="18" customHeight="1" x14ac:dyDescent="0.25">
      <c r="A9" s="9" t="s">
        <v>89</v>
      </c>
      <c r="B9" s="6" t="s">
        <v>16</v>
      </c>
      <c r="C9" s="6" t="s">
        <v>63</v>
      </c>
      <c r="D9" s="6" t="s">
        <v>53</v>
      </c>
      <c r="E9" s="6" t="s">
        <v>38</v>
      </c>
      <c r="F9" s="6" t="s">
        <v>39</v>
      </c>
      <c r="G9" s="6" t="s">
        <v>40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3"/>
      <c r="V9" s="3"/>
      <c r="W9" s="3"/>
      <c r="X9" s="3"/>
    </row>
    <row r="10" spans="1:24" ht="18" customHeight="1" x14ac:dyDescent="0.25">
      <c r="A10" s="9" t="s">
        <v>90</v>
      </c>
      <c r="B10" s="6" t="s">
        <v>17</v>
      </c>
      <c r="C10" s="6" t="s">
        <v>64</v>
      </c>
      <c r="D10" s="6" t="s">
        <v>54</v>
      </c>
      <c r="E10" s="6" t="s">
        <v>41</v>
      </c>
      <c r="F10" s="2" t="s">
        <v>42</v>
      </c>
      <c r="G10" s="6" t="s">
        <v>43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3"/>
      <c r="V10" s="3"/>
      <c r="W10" s="3"/>
      <c r="X10" s="3"/>
    </row>
    <row r="11" spans="1:24" ht="18" customHeight="1" x14ac:dyDescent="0.25">
      <c r="A11" s="9" t="s">
        <v>91</v>
      </c>
      <c r="B11" s="6" t="s">
        <v>18</v>
      </c>
      <c r="C11" s="6" t="s">
        <v>65</v>
      </c>
      <c r="D11" s="6" t="s">
        <v>55</v>
      </c>
      <c r="E11" s="6" t="s">
        <v>44</v>
      </c>
      <c r="F11" s="6" t="s">
        <v>45</v>
      </c>
      <c r="G11" s="6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3"/>
      <c r="V11" s="3"/>
      <c r="W11" s="3"/>
      <c r="X11" s="3"/>
    </row>
    <row r="12" spans="1:24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3"/>
      <c r="V12" s="3"/>
      <c r="W12" s="3"/>
      <c r="X12" s="3"/>
    </row>
    <row r="13" spans="1:24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3"/>
      <c r="V13" s="3"/>
      <c r="W13" s="3"/>
      <c r="X13" s="3"/>
    </row>
    <row r="14" spans="1:24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3"/>
      <c r="V14" s="3"/>
      <c r="W14" s="3"/>
      <c r="X14" s="3"/>
    </row>
    <row r="15" spans="1:24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3"/>
      <c r="V15" s="3"/>
      <c r="W15" s="3"/>
      <c r="X15" s="3"/>
    </row>
    <row r="16" spans="1:24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3"/>
      <c r="V16" s="3"/>
      <c r="W16" s="3"/>
      <c r="X16" s="3"/>
    </row>
    <row r="17" spans="2:24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3"/>
      <c r="V17" s="3"/>
      <c r="W17" s="3"/>
      <c r="X17" s="3"/>
    </row>
    <row r="18" spans="2:24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3"/>
      <c r="V18" s="3"/>
      <c r="W18" s="3"/>
      <c r="X18" s="3"/>
    </row>
    <row r="19" spans="2:24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3"/>
      <c r="V19" s="3"/>
      <c r="W19" s="3"/>
      <c r="X19" s="3"/>
    </row>
    <row r="20" spans="2:24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3"/>
      <c r="V20" s="3"/>
      <c r="W20" s="3"/>
      <c r="X20" s="3"/>
    </row>
    <row r="21" spans="2:24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3"/>
      <c r="V21" s="3"/>
      <c r="W21" s="3"/>
      <c r="X21" s="3"/>
    </row>
    <row r="22" spans="2:24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3"/>
      <c r="V22" s="3"/>
      <c r="W22" s="3"/>
      <c r="X22" s="3"/>
    </row>
    <row r="23" spans="2:24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3"/>
      <c r="V23" s="3"/>
      <c r="W23" s="3"/>
      <c r="X23" s="3"/>
    </row>
    <row r="24" spans="2:24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3"/>
      <c r="V24" s="3"/>
      <c r="W24" s="3"/>
      <c r="X24" s="3"/>
    </row>
    <row r="25" spans="2:24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3"/>
      <c r="V25" s="3"/>
      <c r="W25" s="3"/>
      <c r="X25" s="3"/>
    </row>
    <row r="26" spans="2:24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3"/>
      <c r="V26" s="3"/>
      <c r="W26" s="3"/>
      <c r="X26" s="3"/>
    </row>
    <row r="27" spans="2:24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3"/>
      <c r="V27" s="3"/>
      <c r="W27" s="3"/>
      <c r="X27" s="3"/>
    </row>
    <row r="28" spans="2:24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3"/>
      <c r="V28" s="3"/>
      <c r="W28" s="3"/>
      <c r="X28" s="3"/>
    </row>
    <row r="29" spans="2:24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3"/>
      <c r="V29" s="3"/>
      <c r="W29" s="3"/>
      <c r="X29" s="3"/>
    </row>
    <row r="30" spans="2:24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3"/>
      <c r="V30" s="3"/>
      <c r="W30" s="3"/>
      <c r="X30" s="3"/>
    </row>
    <row r="31" spans="2:24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3"/>
      <c r="V31" s="3"/>
      <c r="W31" s="3"/>
      <c r="X31" s="3"/>
    </row>
    <row r="32" spans="2:24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3"/>
      <c r="V32" s="3"/>
      <c r="W32" s="3"/>
      <c r="X32" s="3"/>
    </row>
    <row r="33" spans="2:24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3"/>
      <c r="V33" s="3"/>
      <c r="W33" s="3"/>
      <c r="X33" s="3"/>
    </row>
    <row r="34" spans="2:24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3"/>
      <c r="V34" s="3"/>
      <c r="W34" s="3"/>
      <c r="X34" s="3"/>
    </row>
    <row r="35" spans="2:24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3"/>
      <c r="V35" s="3"/>
      <c r="W35" s="3"/>
      <c r="X35" s="3"/>
    </row>
    <row r="36" spans="2:24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3"/>
      <c r="V36" s="3"/>
      <c r="W36" s="3"/>
      <c r="X36" s="3"/>
    </row>
    <row r="37" spans="2:24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3"/>
      <c r="V37" s="3"/>
      <c r="W37" s="3"/>
      <c r="X37" s="3"/>
    </row>
    <row r="38" spans="2:24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3"/>
      <c r="V38" s="3"/>
      <c r="W38" s="3"/>
      <c r="X38" s="3"/>
    </row>
    <row r="39" spans="2:24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3"/>
      <c r="V39" s="3"/>
      <c r="W39" s="3"/>
      <c r="X39" s="3"/>
    </row>
    <row r="40" spans="2:24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3"/>
      <c r="V40" s="3"/>
      <c r="W40" s="3"/>
      <c r="X40" s="3"/>
    </row>
    <row r="41" spans="2:24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3"/>
      <c r="V41" s="3"/>
      <c r="W41" s="3"/>
      <c r="X41" s="3"/>
    </row>
    <row r="42" spans="2:24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3"/>
      <c r="V42" s="3"/>
      <c r="W42" s="3"/>
      <c r="X42" s="3"/>
    </row>
    <row r="43" spans="2:24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3"/>
      <c r="V43" s="3"/>
      <c r="W43" s="3"/>
      <c r="X43" s="3"/>
    </row>
    <row r="44" spans="2:24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3"/>
      <c r="V44" s="3"/>
      <c r="W44" s="3"/>
      <c r="X44" s="3"/>
    </row>
    <row r="45" spans="2:24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3"/>
      <c r="V45" s="3"/>
      <c r="W45" s="3"/>
      <c r="X45" s="3"/>
    </row>
    <row r="46" spans="2:24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3"/>
      <c r="V46" s="3"/>
      <c r="W46" s="3"/>
      <c r="X46" s="3"/>
    </row>
    <row r="47" spans="2:24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3"/>
      <c r="V47" s="3"/>
      <c r="W47" s="3"/>
      <c r="X47" s="3"/>
    </row>
    <row r="48" spans="2:24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3"/>
      <c r="V48" s="3"/>
      <c r="W48" s="3"/>
      <c r="X48" s="3"/>
    </row>
    <row r="49" spans="2:24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3"/>
      <c r="V49" s="3"/>
      <c r="W49" s="3"/>
      <c r="X49" s="3"/>
    </row>
    <row r="50" spans="2:24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3"/>
      <c r="V50" s="3"/>
      <c r="W50" s="3"/>
      <c r="X50" s="3"/>
    </row>
    <row r="51" spans="2:24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3"/>
      <c r="V51" s="3"/>
      <c r="W51" s="3"/>
      <c r="X51" s="3"/>
    </row>
    <row r="52" spans="2:24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3"/>
      <c r="V52" s="3"/>
      <c r="W52" s="3"/>
      <c r="X52" s="3"/>
    </row>
    <row r="53" spans="2:24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3"/>
      <c r="V53" s="3"/>
      <c r="W53" s="3"/>
      <c r="X53" s="3"/>
    </row>
    <row r="54" spans="2:24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3"/>
      <c r="V54" s="3"/>
      <c r="W54" s="3"/>
      <c r="X54" s="3"/>
    </row>
    <row r="55" spans="2:24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3"/>
      <c r="V55" s="3"/>
      <c r="W55" s="3"/>
      <c r="X55" s="3"/>
    </row>
    <row r="56" spans="2:24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3"/>
      <c r="V56" s="3"/>
      <c r="W56" s="3"/>
      <c r="X56" s="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71E1-9462-4B89-BAF6-89F2869E4855}">
  <sheetPr codeName="Sheet5"/>
  <dimension ref="A1:U56"/>
  <sheetViews>
    <sheetView workbookViewId="0"/>
  </sheetViews>
  <sheetFormatPr defaultColWidth="8.86328125" defaultRowHeight="12.75" x14ac:dyDescent="0.25"/>
  <cols>
    <col min="1" max="4" width="10.796875" style="1" customWidth="1"/>
    <col min="5" max="16384" width="8.86328125" style="1"/>
  </cols>
  <sheetData>
    <row r="1" spans="1:21" ht="18" customHeight="1" x14ac:dyDescent="0.25">
      <c r="A1" s="10" t="s">
        <v>10</v>
      </c>
      <c r="B1" s="11" t="s">
        <v>66</v>
      </c>
      <c r="C1" s="11" t="s">
        <v>2</v>
      </c>
      <c r="D1" s="11" t="s">
        <v>3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"/>
      <c r="S1" s="3"/>
      <c r="T1" s="3"/>
      <c r="U1" s="3"/>
    </row>
    <row r="2" spans="1:21" ht="18" customHeight="1" x14ac:dyDescent="0.25">
      <c r="A2" s="2" t="s">
        <v>92</v>
      </c>
      <c r="B2" s="8" t="s">
        <v>67</v>
      </c>
      <c r="C2" s="7">
        <v>9500</v>
      </c>
      <c r="D2" s="6" t="s">
        <v>77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  <c r="U2" s="3"/>
    </row>
    <row r="3" spans="1:21" ht="18" customHeight="1" x14ac:dyDescent="0.25">
      <c r="A3" s="2" t="s">
        <v>93</v>
      </c>
      <c r="B3" s="8" t="s">
        <v>68</v>
      </c>
      <c r="C3" s="7">
        <v>7400</v>
      </c>
      <c r="D3" s="6" t="s">
        <v>78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3"/>
      <c r="T3" s="3"/>
      <c r="U3" s="3"/>
    </row>
    <row r="4" spans="1:21" ht="18" customHeight="1" x14ac:dyDescent="0.25">
      <c r="A4" s="2" t="s">
        <v>94</v>
      </c>
      <c r="B4" s="8" t="s">
        <v>69</v>
      </c>
      <c r="C4" s="7">
        <v>3400</v>
      </c>
      <c r="D4" s="6" t="s">
        <v>79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3"/>
      <c r="S4" s="3"/>
      <c r="T4" s="3"/>
      <c r="U4" s="3"/>
    </row>
    <row r="5" spans="1:21" ht="18" customHeight="1" x14ac:dyDescent="0.25">
      <c r="A5" s="2" t="s">
        <v>95</v>
      </c>
      <c r="B5" s="8" t="s">
        <v>70</v>
      </c>
      <c r="C5" s="7">
        <v>5600</v>
      </c>
      <c r="D5" s="5" t="s">
        <v>80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3"/>
      <c r="S5" s="3"/>
      <c r="T5" s="3"/>
      <c r="U5" s="3"/>
    </row>
    <row r="6" spans="1:21" ht="18" customHeight="1" x14ac:dyDescent="0.25">
      <c r="A6" s="2" t="s">
        <v>96</v>
      </c>
      <c r="B6" s="8" t="s">
        <v>71</v>
      </c>
      <c r="C6" s="7">
        <v>1800</v>
      </c>
      <c r="D6" s="5" t="s">
        <v>81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3"/>
      <c r="S6" s="3"/>
      <c r="T6" s="3"/>
      <c r="U6" s="3"/>
    </row>
    <row r="7" spans="1:21" ht="18" customHeight="1" x14ac:dyDescent="0.25">
      <c r="A7" s="2" t="s">
        <v>97</v>
      </c>
      <c r="B7" s="8" t="s">
        <v>72</v>
      </c>
      <c r="C7" s="7">
        <v>9000</v>
      </c>
      <c r="D7" s="5" t="s">
        <v>80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3"/>
      <c r="S7" s="3"/>
      <c r="T7" s="3"/>
      <c r="U7" s="3"/>
    </row>
    <row r="8" spans="1:21" ht="18" customHeight="1" x14ac:dyDescent="0.25">
      <c r="A8" s="2" t="s">
        <v>98</v>
      </c>
      <c r="B8" s="8" t="s">
        <v>73</v>
      </c>
      <c r="C8" s="7">
        <v>1100</v>
      </c>
      <c r="D8" s="6" t="s">
        <v>79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3"/>
      <c r="S8" s="3"/>
      <c r="T8" s="3"/>
      <c r="U8" s="3"/>
    </row>
    <row r="9" spans="1:21" ht="18" customHeight="1" x14ac:dyDescent="0.25">
      <c r="A9" s="2" t="s">
        <v>99</v>
      </c>
      <c r="B9" s="8" t="s">
        <v>74</v>
      </c>
      <c r="C9" s="7">
        <v>1300</v>
      </c>
      <c r="D9" s="6" t="s">
        <v>78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3"/>
      <c r="S9" s="3"/>
      <c r="T9" s="3"/>
      <c r="U9" s="3"/>
    </row>
    <row r="10" spans="1:21" ht="18" customHeight="1" x14ac:dyDescent="0.25">
      <c r="A10" s="2" t="s">
        <v>100</v>
      </c>
      <c r="B10" s="8" t="s">
        <v>75</v>
      </c>
      <c r="C10" s="7">
        <v>5800</v>
      </c>
      <c r="D10" s="5" t="s">
        <v>81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  <c r="S10" s="3"/>
      <c r="T10" s="3"/>
      <c r="U10" s="3"/>
    </row>
    <row r="11" spans="1:21" ht="18" customHeight="1" x14ac:dyDescent="0.25">
      <c r="A11" s="2" t="s">
        <v>101</v>
      </c>
      <c r="B11" s="8" t="s">
        <v>76</v>
      </c>
      <c r="C11" s="7">
        <v>4100</v>
      </c>
      <c r="D11" s="6" t="s">
        <v>77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  <c r="S11" s="3"/>
      <c r="T11" s="3"/>
      <c r="U11" s="3"/>
    </row>
    <row r="12" spans="1:2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3"/>
      <c r="S12" s="3"/>
      <c r="T12" s="3"/>
      <c r="U12" s="3"/>
    </row>
    <row r="13" spans="1:2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3"/>
      <c r="S13" s="3"/>
      <c r="T13" s="3"/>
      <c r="U13" s="3"/>
    </row>
    <row r="14" spans="1:2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T14" s="3"/>
      <c r="U14" s="3"/>
    </row>
    <row r="15" spans="1:2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3"/>
      <c r="S15" s="3"/>
      <c r="T15" s="3"/>
      <c r="U15" s="3"/>
    </row>
    <row r="16" spans="1:2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3"/>
      <c r="S16" s="3"/>
      <c r="T16" s="3"/>
      <c r="U16" s="3"/>
    </row>
    <row r="17" spans="2:2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3"/>
      <c r="S17" s="3"/>
      <c r="T17" s="3"/>
      <c r="U17" s="3"/>
    </row>
    <row r="18" spans="2:2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3"/>
      <c r="S18" s="3"/>
      <c r="T18" s="3"/>
      <c r="U18" s="3"/>
    </row>
    <row r="19" spans="2:2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3"/>
      <c r="S19" s="3"/>
      <c r="T19" s="3"/>
      <c r="U19" s="3"/>
    </row>
    <row r="20" spans="2:2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3"/>
      <c r="S20" s="3"/>
      <c r="T20" s="3"/>
      <c r="U20" s="3"/>
    </row>
    <row r="21" spans="2:2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3"/>
      <c r="S21" s="3"/>
      <c r="T21" s="3"/>
      <c r="U21" s="3"/>
    </row>
    <row r="22" spans="2:2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3"/>
      <c r="S22" s="3"/>
      <c r="T22" s="3"/>
      <c r="U22" s="3"/>
    </row>
    <row r="23" spans="2:2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3"/>
      <c r="S23" s="3"/>
      <c r="T23" s="3"/>
      <c r="U23" s="3"/>
    </row>
    <row r="24" spans="2:2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3"/>
      <c r="S24" s="3"/>
      <c r="T24" s="3"/>
      <c r="U24" s="3"/>
    </row>
    <row r="25" spans="2:2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3"/>
      <c r="S25" s="3"/>
      <c r="T25" s="3"/>
      <c r="U25" s="3"/>
    </row>
    <row r="26" spans="2:2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3"/>
      <c r="S26" s="3"/>
      <c r="T26" s="3"/>
      <c r="U26" s="3"/>
    </row>
    <row r="27" spans="2:2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3"/>
      <c r="S27" s="3"/>
      <c r="T27" s="3"/>
      <c r="U27" s="3"/>
    </row>
    <row r="28" spans="2:2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3"/>
      <c r="T28" s="3"/>
      <c r="U28" s="3"/>
    </row>
    <row r="29" spans="2:2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3"/>
      <c r="S29" s="3"/>
      <c r="T29" s="3"/>
      <c r="U29" s="3"/>
    </row>
    <row r="30" spans="2:2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3"/>
      <c r="S30" s="3"/>
      <c r="T30" s="3"/>
      <c r="U30" s="3"/>
    </row>
    <row r="31" spans="2:2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3"/>
      <c r="S31" s="3"/>
      <c r="T31" s="3"/>
      <c r="U31" s="3"/>
    </row>
    <row r="32" spans="2:2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3"/>
      <c r="S32" s="3"/>
      <c r="T32" s="3"/>
      <c r="U32" s="3"/>
    </row>
    <row r="33" spans="2:21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3"/>
      <c r="S33" s="3"/>
      <c r="T33" s="3"/>
      <c r="U33" s="3"/>
    </row>
    <row r="34" spans="2:21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3"/>
      <c r="S34" s="3"/>
      <c r="T34" s="3"/>
      <c r="U34" s="3"/>
    </row>
    <row r="35" spans="2:21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"/>
      <c r="S35" s="3"/>
      <c r="T35" s="3"/>
      <c r="U35" s="3"/>
    </row>
    <row r="36" spans="2:21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3"/>
      <c r="S36" s="3"/>
      <c r="T36" s="3"/>
      <c r="U36" s="3"/>
    </row>
    <row r="37" spans="2:2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3"/>
      <c r="S37" s="3"/>
      <c r="T37" s="3"/>
      <c r="U37" s="3"/>
    </row>
    <row r="38" spans="2:2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3"/>
      <c r="S38" s="3"/>
      <c r="T38" s="3"/>
      <c r="U38" s="3"/>
    </row>
    <row r="39" spans="2:21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3"/>
      <c r="S39" s="3"/>
      <c r="T39" s="3"/>
      <c r="U39" s="3"/>
    </row>
    <row r="40" spans="2:21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3"/>
      <c r="S40" s="3"/>
      <c r="T40" s="3"/>
      <c r="U40" s="3"/>
    </row>
    <row r="41" spans="2:21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3"/>
      <c r="S41" s="3"/>
      <c r="T41" s="3"/>
      <c r="U41" s="3"/>
    </row>
    <row r="42" spans="2:21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3"/>
      <c r="S42" s="3"/>
      <c r="T42" s="3"/>
      <c r="U42" s="3"/>
    </row>
    <row r="43" spans="2:21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3"/>
      <c r="S43" s="3"/>
      <c r="T43" s="3"/>
      <c r="U43" s="3"/>
    </row>
    <row r="44" spans="2:2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3"/>
      <c r="S44" s="3"/>
      <c r="T44" s="3"/>
      <c r="U44" s="3"/>
    </row>
    <row r="45" spans="2:21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3"/>
      <c r="S45" s="3"/>
      <c r="T45" s="3"/>
      <c r="U45" s="3"/>
    </row>
    <row r="46" spans="2:21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3"/>
      <c r="S46" s="3"/>
      <c r="T46" s="3"/>
      <c r="U46" s="3"/>
    </row>
    <row r="47" spans="2:21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3"/>
      <c r="S47" s="3"/>
      <c r="T47" s="3"/>
      <c r="U47" s="3"/>
    </row>
    <row r="48" spans="2:21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3"/>
      <c r="S48" s="3"/>
      <c r="T48" s="3"/>
      <c r="U48" s="3"/>
    </row>
    <row r="49" spans="2:21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3"/>
      <c r="S49" s="3"/>
      <c r="T49" s="3"/>
      <c r="U49" s="3"/>
    </row>
    <row r="50" spans="2:2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3"/>
      <c r="S50" s="3"/>
      <c r="T50" s="3"/>
      <c r="U50" s="3"/>
    </row>
    <row r="51" spans="2:2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3"/>
      <c r="S51" s="3"/>
      <c r="T51" s="3"/>
      <c r="U51" s="3"/>
    </row>
    <row r="52" spans="2:21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3"/>
      <c r="S52" s="3"/>
      <c r="T52" s="3"/>
      <c r="U52" s="3"/>
    </row>
    <row r="53" spans="2:21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3"/>
      <c r="S53" s="3"/>
      <c r="T53" s="3"/>
      <c r="U53" s="3"/>
    </row>
    <row r="54" spans="2:21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3"/>
      <c r="S54" s="3"/>
      <c r="T54" s="3"/>
      <c r="U54" s="3"/>
    </row>
    <row r="55" spans="2:21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3"/>
      <c r="S55" s="3"/>
      <c r="T55" s="3"/>
      <c r="U55" s="3"/>
    </row>
    <row r="56" spans="2:21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3"/>
      <c r="S56" s="3"/>
      <c r="T56" s="3"/>
      <c r="U56" s="3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8A90F-71B6-41C5-80C8-9FD427A4FC4F}">
  <sheetPr codeName="Sheet4"/>
  <dimension ref="A1:K7"/>
  <sheetViews>
    <sheetView tabSelected="1" workbookViewId="0">
      <selection activeCell="D16" sqref="D16"/>
    </sheetView>
  </sheetViews>
  <sheetFormatPr defaultRowHeight="12.75" x14ac:dyDescent="0.25"/>
  <cols>
    <col min="1" max="1" width="9.86328125" bestFit="1" customWidth="1"/>
    <col min="2" max="2" width="10.19921875" style="44" bestFit="1" customWidth="1"/>
    <col min="3" max="3" width="9.53125" style="14" customWidth="1"/>
    <col min="4" max="4" width="16.6640625" style="14" bestFit="1" customWidth="1"/>
    <col min="5" max="5" width="7.86328125" bestFit="1" customWidth="1"/>
    <col min="6" max="6" width="9.73046875" bestFit="1" customWidth="1"/>
    <col min="7" max="8" width="6.1328125" bestFit="1" customWidth="1"/>
    <col min="9" max="9" width="5.53125" bestFit="1" customWidth="1"/>
    <col min="10" max="10" width="11.6640625" bestFit="1" customWidth="1"/>
  </cols>
  <sheetData>
    <row r="1" spans="1:11" x14ac:dyDescent="0.25">
      <c r="A1" s="31" t="s">
        <v>114</v>
      </c>
      <c r="B1" s="43" t="s">
        <v>112</v>
      </c>
      <c r="C1" s="31" t="s">
        <v>122</v>
      </c>
      <c r="D1" s="31" t="s">
        <v>117</v>
      </c>
      <c r="E1" s="31" t="s">
        <v>113</v>
      </c>
      <c r="F1" s="42" t="s">
        <v>115</v>
      </c>
      <c r="G1" s="42" t="s">
        <v>116</v>
      </c>
      <c r="H1" s="42" t="s">
        <v>2</v>
      </c>
      <c r="I1" s="42" t="s">
        <v>3</v>
      </c>
      <c r="J1" s="42" t="s">
        <v>121</v>
      </c>
      <c r="K1" s="42" t="s">
        <v>108</v>
      </c>
    </row>
    <row r="2" spans="1:11" x14ac:dyDescent="0.25">
      <c r="A2">
        <v>100001</v>
      </c>
      <c r="B2" s="44">
        <v>43466</v>
      </c>
      <c r="C2" s="14" t="s">
        <v>131</v>
      </c>
      <c r="D2" s="14" t="s">
        <v>136</v>
      </c>
      <c r="E2">
        <v>1</v>
      </c>
      <c r="F2" t="s">
        <v>132</v>
      </c>
      <c r="G2" t="s">
        <v>137</v>
      </c>
      <c r="H2">
        <v>9500</v>
      </c>
      <c r="I2" t="s">
        <v>138</v>
      </c>
      <c r="J2">
        <v>2</v>
      </c>
      <c r="K2">
        <v>19000</v>
      </c>
    </row>
    <row r="3" spans="1:11" x14ac:dyDescent="0.25">
      <c r="A3">
        <v>100001</v>
      </c>
      <c r="B3" s="44">
        <v>43466</v>
      </c>
      <c r="C3" s="14" t="s">
        <v>130</v>
      </c>
      <c r="D3" s="14" t="s">
        <v>135</v>
      </c>
      <c r="E3">
        <v>2</v>
      </c>
      <c r="F3" t="s">
        <v>93</v>
      </c>
      <c r="G3" t="s">
        <v>141</v>
      </c>
      <c r="H3">
        <v>7400</v>
      </c>
      <c r="I3" t="s">
        <v>142</v>
      </c>
      <c r="J3">
        <v>3</v>
      </c>
      <c r="K3">
        <v>22200</v>
      </c>
    </row>
    <row r="4" spans="1:11" x14ac:dyDescent="0.25">
      <c r="A4">
        <v>100001</v>
      </c>
      <c r="B4" s="44">
        <v>43466</v>
      </c>
      <c r="C4" s="14" t="s">
        <v>130</v>
      </c>
      <c r="D4" s="14" t="s">
        <v>135</v>
      </c>
      <c r="E4">
        <v>3</v>
      </c>
      <c r="F4" t="s">
        <v>94</v>
      </c>
      <c r="G4" t="s">
        <v>143</v>
      </c>
      <c r="H4">
        <v>3400</v>
      </c>
      <c r="I4" t="s">
        <v>144</v>
      </c>
      <c r="J4">
        <v>4</v>
      </c>
      <c r="K4">
        <v>13600</v>
      </c>
    </row>
    <row r="5" spans="1:11" x14ac:dyDescent="0.25">
      <c r="A5">
        <v>100001</v>
      </c>
      <c r="B5" s="44">
        <v>43466</v>
      </c>
      <c r="C5" s="14" t="s">
        <v>130</v>
      </c>
      <c r="D5" s="14" t="s">
        <v>135</v>
      </c>
      <c r="E5">
        <v>1</v>
      </c>
      <c r="F5" t="s">
        <v>132</v>
      </c>
      <c r="G5" t="s">
        <v>137</v>
      </c>
      <c r="H5">
        <v>9500</v>
      </c>
      <c r="I5" t="s">
        <v>138</v>
      </c>
      <c r="J5">
        <v>2</v>
      </c>
      <c r="K5">
        <v>19000</v>
      </c>
    </row>
    <row r="6" spans="1:11" x14ac:dyDescent="0.25">
      <c r="A6">
        <v>100001</v>
      </c>
      <c r="B6" s="44">
        <v>43466</v>
      </c>
      <c r="C6" s="14" t="s">
        <v>130</v>
      </c>
      <c r="D6" s="14" t="s">
        <v>135</v>
      </c>
      <c r="E6">
        <v>2</v>
      </c>
      <c r="F6" t="s">
        <v>93</v>
      </c>
      <c r="G6" t="s">
        <v>141</v>
      </c>
      <c r="H6">
        <v>7400</v>
      </c>
      <c r="I6" t="s">
        <v>142</v>
      </c>
      <c r="J6">
        <v>3</v>
      </c>
      <c r="K6">
        <v>22200</v>
      </c>
    </row>
    <row r="7" spans="1:11" x14ac:dyDescent="0.25">
      <c r="A7">
        <v>100001</v>
      </c>
      <c r="B7" s="44">
        <v>43466</v>
      </c>
      <c r="C7" s="14" t="s">
        <v>130</v>
      </c>
      <c r="D7" s="14" t="s">
        <v>135</v>
      </c>
      <c r="E7">
        <v>3</v>
      </c>
      <c r="F7" t="s">
        <v>94</v>
      </c>
      <c r="G7" t="s">
        <v>143</v>
      </c>
      <c r="H7">
        <v>3400</v>
      </c>
      <c r="I7" t="s">
        <v>144</v>
      </c>
      <c r="J7">
        <v>4</v>
      </c>
      <c r="K7">
        <v>13600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4AD93-CE69-4CA0-B8C1-C7DF9C822FA2}">
  <sheetPr codeName="Sheet7"/>
  <dimension ref="A1:D4"/>
  <sheetViews>
    <sheetView workbookViewId="0"/>
  </sheetViews>
  <sheetFormatPr defaultColWidth="8.86328125" defaultRowHeight="12.75" x14ac:dyDescent="0.25"/>
  <cols>
    <col min="1" max="1" width="13.1328125" style="1" bestFit="1" customWidth="1"/>
    <col min="2" max="2" width="10.19921875" style="1" bestFit="1" customWidth="1"/>
    <col min="3" max="3" width="10.86328125" style="1" bestFit="1" customWidth="1"/>
    <col min="4" max="16384" width="8.86328125" style="1"/>
  </cols>
  <sheetData>
    <row r="1" spans="1:4" x14ac:dyDescent="0.25">
      <c r="A1" s="1" t="s">
        <v>123</v>
      </c>
      <c r="B1" s="28" t="s">
        <v>125</v>
      </c>
      <c r="C1" s="1" t="s">
        <v>4</v>
      </c>
      <c r="D1" s="1" t="s">
        <v>124</v>
      </c>
    </row>
    <row r="2" spans="1:4" x14ac:dyDescent="0.25">
      <c r="A2" s="1">
        <v>100001</v>
      </c>
      <c r="B2" s="28">
        <v>43466</v>
      </c>
      <c r="C2" s="1" t="s">
        <v>130</v>
      </c>
      <c r="D2" s="1">
        <v>20900</v>
      </c>
    </row>
    <row r="3" spans="1:4" x14ac:dyDescent="0.25">
      <c r="B3" s="28"/>
    </row>
    <row r="4" spans="1:4" x14ac:dyDescent="0.25">
      <c r="B4" s="28"/>
    </row>
  </sheetData>
  <sortState xmlns:xlrd2="http://schemas.microsoft.com/office/spreadsheetml/2017/richdata2" ref="A2:D4">
    <sortCondition ref="A1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請求書原本</vt:lpstr>
      <vt:lpstr>会社一覧</vt:lpstr>
      <vt:lpstr>商品一覧</vt:lpstr>
      <vt:lpstr>請求DB</vt:lpstr>
      <vt:lpstr>請求履歴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tatsuya.m</dc:creator>
  <cp:lastModifiedBy>tatsuya.m</cp:lastModifiedBy>
  <cp:lastPrinted>2019-01-04T06:33:22Z</cp:lastPrinted>
  <dcterms:created xsi:type="dcterms:W3CDTF">2016-03-10T13:05:27Z</dcterms:created>
  <dcterms:modified xsi:type="dcterms:W3CDTF">2021-01-14T09:14:21Z</dcterms:modified>
</cp:coreProperties>
</file>